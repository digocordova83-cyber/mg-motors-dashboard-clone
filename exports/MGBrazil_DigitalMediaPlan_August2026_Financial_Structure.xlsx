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lan - Aug26" sheetId="1" state="visible" r:id="rId1"/>
    <sheet xmlns:r="http://schemas.openxmlformats.org/officeDocument/2006/relationships" name="Source &amp; Assumptions" sheetId="2" state="visible" r:id="rId2"/>
  </sheets>
  <definedNames>
    <definedName name="_xlnm.Print_Titles" localSheetId="0">'Financial Plan - Aug26'!$1:$10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16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09283D"/>
      <sz val="12"/>
    </font>
    <font>
      <name val="Calibri"/>
      <i val="1"/>
      <color rgb="005B6570"/>
      <sz val="9"/>
    </font>
    <font>
      <name val="Calibri"/>
      <b val="1"/>
      <color rgb="00FFFFFF"/>
      <sz val="9"/>
    </font>
    <font>
      <name val="Calibri"/>
      <b val="1"/>
      <color rgb="0009283D"/>
      <sz val="11"/>
    </font>
    <font>
      <name val="Georgia"/>
      <b val="1"/>
      <color rgb="00FFFFFF"/>
      <sz val="12"/>
    </font>
    <font>
      <name val="Calibri"/>
      <color rgb="001F2933"/>
      <sz val="9"/>
    </font>
    <font>
      <name val="Calibri"/>
      <b val="1"/>
      <color rgb="00B45F06"/>
      <sz val="9"/>
    </font>
    <font>
      <name val="Calibri"/>
      <b val="1"/>
      <color rgb="000B6E4F"/>
      <sz val="9"/>
    </font>
    <font>
      <name val="Georgia"/>
      <b val="1"/>
      <color rgb="00FFFFFF"/>
      <sz val="11"/>
    </font>
    <font>
      <name val="Georgia"/>
      <b val="1"/>
      <color rgb="00FFFFFF"/>
      <sz val="15"/>
    </font>
    <font>
      <name val="Calibri"/>
      <b val="1"/>
      <color rgb="0009283D"/>
      <sz val="10"/>
    </font>
    <font>
      <name val="Calibri"/>
      <color rgb="001F2933"/>
      <sz val="10"/>
    </font>
    <font>
      <name val="Calibri"/>
      <i val="1"/>
      <color rgb="00B45F06"/>
      <sz val="10"/>
    </font>
  </fonts>
  <fills count="11">
    <fill>
      <patternFill/>
    </fill>
    <fill>
      <patternFill patternType="gray125"/>
    </fill>
    <fill>
      <patternFill patternType="solid">
        <fgColor rgb="0009283D"/>
      </patternFill>
    </fill>
    <fill>
      <patternFill patternType="solid">
        <fgColor rgb="00D7194F"/>
      </patternFill>
    </fill>
    <fill>
      <patternFill patternType="solid">
        <fgColor rgb="00FFF2CC"/>
      </patternFill>
    </fill>
    <fill>
      <patternFill patternType="solid">
        <fgColor rgb="00D6A927"/>
      </patternFill>
    </fill>
    <fill>
      <patternFill patternType="solid">
        <fgColor rgb="00E8F0F6"/>
      </patternFill>
    </fill>
    <fill>
      <patternFill patternType="solid">
        <fgColor rgb="00123B55"/>
      </patternFill>
    </fill>
    <fill>
      <patternFill patternType="solid">
        <fgColor rgb="00F3F5F7"/>
      </patternFill>
    </fill>
    <fill>
      <patternFill patternType="solid">
        <fgColor rgb="00FCE4EC"/>
      </patternFill>
    </fill>
    <fill>
      <patternFill patternType="solid">
        <fgColor rgb="00E6F4EE"/>
      </patternFill>
    </fill>
  </fills>
  <borders count="3">
    <border>
      <left/>
      <right/>
      <top/>
      <bottom/>
      <diagonal/>
    </border>
    <border>
      <top style="medium">
        <color rgb="0009283D"/>
      </top>
      <bottom style="medium">
        <color rgb="0009283D"/>
      </bottom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49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vertical="center"/>
    </xf>
    <xf numFmtId="0" fontId="8" fillId="8" borderId="2" applyAlignment="1" pivotButton="0" quotePrefix="0" xfId="0">
      <alignment vertical="center" wrapText="1"/>
    </xf>
    <xf numFmtId="165" fontId="8" fillId="8" borderId="2" applyAlignment="1" pivotButton="0" quotePrefix="0" xfId="0">
      <alignment vertical="center"/>
    </xf>
    <xf numFmtId="165" fontId="8" fillId="4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165" fontId="8" fillId="0" borderId="2" applyAlignment="1" pivotButton="0" quotePrefix="0" xfId="0">
      <alignment vertical="center"/>
    </xf>
    <xf numFmtId="0" fontId="10" fillId="10" borderId="2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2" applyAlignment="1" pivotButton="0" quotePrefix="0" xfId="0">
      <alignment vertical="center" wrapText="1"/>
    </xf>
    <xf numFmtId="165" fontId="5" fillId="2" borderId="2" applyAlignment="1" pivotButton="0" quotePrefix="0" xfId="0">
      <alignment vertical="center"/>
    </xf>
    <xf numFmtId="165" fontId="5" fillId="4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/>
    </xf>
    <xf numFmtId="0" fontId="13" fillId="6" borderId="2" pivotButton="0" quotePrefix="0" xfId="0"/>
    <xf numFmtId="0" fontId="14" fillId="6" borderId="2" applyAlignment="1" pivotButton="0" quotePrefix="0" xfId="0">
      <alignment vertical="center" wrapText="1"/>
    </xf>
    <xf numFmtId="0" fontId="13" fillId="8" borderId="2" pivotButton="0" quotePrefix="0" xfId="0"/>
    <xf numFmtId="0" fontId="14" fillId="8" borderId="2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E6F4EE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4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18" customWidth="1" min="5" max="5"/>
    <col width="19" customWidth="1" min="6" max="6"/>
    <col width="18" customWidth="1" min="7" max="7"/>
    <col width="20" customWidth="1" min="8" max="8"/>
    <col width="18" customWidth="1" min="9" max="9"/>
    <col width="48" customWidth="1" min="10" max="10"/>
  </cols>
  <sheetData>
    <row r="1" ht="20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B2" s="2" t="inlineStr">
        <is>
          <t>MG MOTOR BRAZIL — FINANCIAL MEDIA PLAN BY CHANNEL | AUGUST 2026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4" customHeight="1">
      <c r="B3" s="3" t="inlineStr">
        <is>
          <t>Line-up BRL 751,000 • Urban BRL 200,000 • Off / Magazine BRL 50,000 • Media Save BRL 99,000 • Consolidated gross BRL 1,100,000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20" customHeight="1"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0" customHeight="1">
      <c r="B5" s="4" t="inlineStr">
        <is>
          <t>COMMISSION RATE</t>
        </is>
      </c>
      <c r="C5" s="5" t="n">
        <v>0.04</v>
      </c>
      <c r="D5" s="6" t="inlineStr">
        <is>
          <t>Gross = planned media value | Commission = Gross × rate | Net = Gross − Commission | Actual Investment intentionally blank until August payment evidence is available</t>
        </is>
      </c>
      <c r="E5" s="1" t="n"/>
      <c r="F5" s="1" t="n"/>
      <c r="G5" s="1" t="n"/>
      <c r="H5" s="1" t="n"/>
      <c r="I5" s="1" t="n"/>
      <c r="J5" s="1" t="n"/>
    </row>
    <row r="6" ht="20" customHeight="1"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20" customHeight="1">
      <c r="B7" s="7" t="inlineStr">
        <is>
          <t>TOTAL GROSS</t>
        </is>
      </c>
      <c r="C7" s="8">
        <f>E15</f>
        <v/>
      </c>
      <c r="D7" s="7" t="inlineStr">
        <is>
          <t>TOTAL COMMISSION</t>
        </is>
      </c>
      <c r="E7" s="8">
        <f>F15</f>
        <v/>
      </c>
      <c r="F7" s="7" t="inlineStr">
        <is>
          <t>TOTAL NET</t>
        </is>
      </c>
      <c r="G7" s="8">
        <f>G15</f>
        <v/>
      </c>
      <c r="H7" s="9" t="inlineStr">
        <is>
          <t>TOTAL BUDGET STATUS</t>
        </is>
      </c>
      <c r="I7" s="10">
        <f>I15</f>
        <v/>
      </c>
      <c r="J7" s="1" t="n"/>
    </row>
    <row r="8" ht="20" customHeight="1"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24" customHeight="1">
      <c r="B9" s="11" t="inlineStr">
        <is>
          <t>CONSOLIDATED SUMMARY | AUGUST 2026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30" customHeight="1">
      <c r="B10" s="13" t="inlineStr">
        <is>
          <t>CATEGORY</t>
        </is>
      </c>
      <c r="C10" s="13" t="inlineStr">
        <is>
          <t>CHANNEL</t>
        </is>
      </c>
      <c r="D10" s="13" t="inlineStr">
        <is>
          <t>PUBLISHER</t>
        </is>
      </c>
      <c r="E10" s="13" t="inlineStr">
        <is>
          <t>PLAN GROSS (BRL)</t>
        </is>
      </c>
      <c r="F10" s="13" t="inlineStr">
        <is>
          <t>4% COMMISSION (BRL)</t>
        </is>
      </c>
      <c r="G10" s="13" t="inlineStr">
        <is>
          <t>NET (BRL)</t>
        </is>
      </c>
      <c r="H10" s="13" t="inlineStr">
        <is>
          <t>ACTUAL INVESTMENT (BRL)</t>
        </is>
      </c>
      <c r="I10" s="13" t="inlineStr">
        <is>
          <t>STATUS</t>
        </is>
      </c>
      <c r="J10" s="13" t="inlineStr">
        <is>
          <t>SOURCE / NOTE</t>
        </is>
      </c>
    </row>
    <row r="11" ht="20" customHeight="1">
      <c r="B11" s="14" t="inlineStr">
        <is>
          <t>DIGITAL</t>
        </is>
      </c>
      <c r="C11" s="15" t="inlineStr">
        <is>
          <t>Digital Line-up</t>
        </is>
      </c>
      <c r="D11" s="15" t="inlineStr">
        <is>
          <t>See detail below</t>
        </is>
      </c>
      <c r="E11" s="16">
        <f>E25</f>
        <v/>
      </c>
      <c r="F11" s="16">
        <f>F25</f>
        <v/>
      </c>
      <c r="G11" s="16">
        <f>G25</f>
        <v/>
      </c>
      <c r="H11" s="17" t="n"/>
      <c r="I11" s="18" t="inlineStr">
        <is>
          <t>PLANNED</t>
        </is>
      </c>
      <c r="J11" s="15" t="inlineStr">
        <is>
          <t>Consolidated from Digital Line-up subtotal</t>
        </is>
      </c>
    </row>
    <row r="12" ht="20" customHeight="1">
      <c r="B12" s="19" t="inlineStr">
        <is>
          <t>DIGITAL</t>
        </is>
      </c>
      <c r="C12" s="20" t="inlineStr">
        <is>
          <t>Digital Urban</t>
        </is>
      </c>
      <c r="D12" s="20" t="inlineStr">
        <is>
          <t>See detail below</t>
        </is>
      </c>
      <c r="E12" s="21">
        <f>E34</f>
        <v/>
      </c>
      <c r="F12" s="21">
        <f>F34</f>
        <v/>
      </c>
      <c r="G12" s="21">
        <f>G34</f>
        <v/>
      </c>
      <c r="H12" s="17" t="n"/>
      <c r="I12" s="18" t="inlineStr">
        <is>
          <t>PLANNED</t>
        </is>
      </c>
      <c r="J12" s="20" t="inlineStr">
        <is>
          <t>Dedicated MG4 Urban budget</t>
        </is>
      </c>
    </row>
    <row r="13" ht="20" customHeight="1">
      <c r="B13" s="14" t="inlineStr">
        <is>
          <t>DIGITAL</t>
        </is>
      </c>
      <c r="C13" s="15" t="inlineStr">
        <is>
          <t>MEDIA SAVE</t>
        </is>
      </c>
      <c r="D13" s="15" t="inlineStr">
        <is>
          <t>Tactical reserve</t>
        </is>
      </c>
      <c r="E13" s="16" t="n">
        <v>99000</v>
      </c>
      <c r="F13" s="16">
        <f>0</f>
        <v/>
      </c>
      <c r="G13" s="16">
        <f>E13-F13</f>
        <v/>
      </c>
      <c r="H13" s="17" t="n"/>
      <c r="I13" s="22" t="inlineStr">
        <is>
          <t>AVAILABLE</t>
        </is>
      </c>
      <c r="J13" s="15" t="inlineStr">
        <is>
          <t>Reserved within August digital plan; not direct channel allocation</t>
        </is>
      </c>
    </row>
    <row r="14" ht="20" customHeight="1">
      <c r="B14" s="19" t="inlineStr">
        <is>
          <t>OFF</t>
        </is>
      </c>
      <c r="C14" s="20" t="inlineStr">
        <is>
          <t>Magazine</t>
        </is>
      </c>
      <c r="D14" s="20" t="inlineStr">
        <is>
          <t>TBD</t>
        </is>
      </c>
      <c r="E14" s="21">
        <f>E39</f>
        <v/>
      </c>
      <c r="F14" s="21">
        <f>F39</f>
        <v/>
      </c>
      <c r="G14" s="21">
        <f>G39</f>
        <v/>
      </c>
      <c r="H14" s="17" t="n"/>
      <c r="I14" s="18" t="inlineStr">
        <is>
          <t>PLANNED</t>
        </is>
      </c>
      <c r="J14" s="20" t="inlineStr">
        <is>
          <t>Off / Magazine block below</t>
        </is>
      </c>
    </row>
    <row r="15" ht="23" customHeight="1">
      <c r="B15" s="23" t="inlineStr">
        <is>
          <t>SUBTOTAL</t>
        </is>
      </c>
      <c r="C15" s="24" t="inlineStr">
        <is>
          <t>TOTAL CONSOLIDATED</t>
        </is>
      </c>
      <c r="D15" s="23" t="n"/>
      <c r="E15" s="25">
        <f>SUM(E11:E14)</f>
        <v/>
      </c>
      <c r="F15" s="25">
        <f>SUM(F11:F14)</f>
        <v/>
      </c>
      <c r="G15" s="25">
        <f>SUM(G11:G14)</f>
        <v/>
      </c>
      <c r="H15" s="26" t="inlineStr">
        <is>
          <t>PENDING</t>
        </is>
      </c>
      <c r="I15" s="27" t="inlineStr">
        <is>
          <t>No August actual payment/proof data was provided; blank Actual Investment cells are not zero.</t>
        </is>
      </c>
      <c r="J15" s="24" t="inlineStr">
        <is>
          <t>Allocated digital + Urban + Media Save + Off / Magazine</t>
        </is>
      </c>
    </row>
    <row r="16" ht="20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4" customHeight="1">
      <c r="B17" s="28" t="inlineStr">
        <is>
          <t>DIGITAL LINE-UP | Planned gross: BRL 751,000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30" customHeight="1">
      <c r="B18" s="13" t="inlineStr">
        <is>
          <t>CATEGORY</t>
        </is>
      </c>
      <c r="C18" s="13" t="inlineStr">
        <is>
          <t>CHANNEL</t>
        </is>
      </c>
      <c r="D18" s="13" t="inlineStr">
        <is>
          <t>PUBLISHER</t>
        </is>
      </c>
      <c r="E18" s="13" t="inlineStr">
        <is>
          <t>PLAN GROSS (BRL)</t>
        </is>
      </c>
      <c r="F18" s="13" t="inlineStr">
        <is>
          <t>4% COMMISSION (BRL)</t>
        </is>
      </c>
      <c r="G18" s="13" t="inlineStr">
        <is>
          <t>NET (BRL)</t>
        </is>
      </c>
      <c r="H18" s="13" t="inlineStr">
        <is>
          <t>ACTUAL INVESTMENT (BRL)</t>
        </is>
      </c>
      <c r="I18" s="13" t="inlineStr">
        <is>
          <t>STATUS</t>
        </is>
      </c>
      <c r="J18" s="13" t="inlineStr">
        <is>
          <t>SOURCE / NOTE</t>
        </is>
      </c>
    </row>
    <row r="19" ht="20" customHeight="1">
      <c r="B19" s="19" t="inlineStr">
        <is>
          <t>Digital</t>
        </is>
      </c>
      <c r="C19" s="20" t="inlineStr">
        <is>
          <t>Google Ads</t>
        </is>
      </c>
      <c r="D19" s="20" t="inlineStr">
        <is>
          <t>Google</t>
        </is>
      </c>
      <c r="E19" s="21" t="n">
        <v>350000</v>
      </c>
      <c r="F19" s="21">
        <f>E19*$C$5</f>
        <v/>
      </c>
      <c r="G19" s="21">
        <f>E19-F19</f>
        <v/>
      </c>
      <c r="H19" s="17" t="n"/>
      <c r="I19" s="18" t="inlineStr">
        <is>
          <t>PENDING</t>
        </is>
      </c>
      <c r="J19" s="20" t="inlineStr">
        <is>
          <t>August media plan • Consolidated Google</t>
        </is>
      </c>
    </row>
    <row r="20" ht="20" customHeight="1">
      <c r="B20" s="14" t="inlineStr">
        <is>
          <t>Digital</t>
        </is>
      </c>
      <c r="C20" s="15" t="inlineStr">
        <is>
          <t>Webmotors</t>
        </is>
      </c>
      <c r="D20" s="15" t="inlineStr">
        <is>
          <t>Webmotors</t>
        </is>
      </c>
      <c r="E20" s="16" t="n">
        <v>105000</v>
      </c>
      <c r="F20" s="16">
        <f>E20*$C$5</f>
        <v/>
      </c>
      <c r="G20" s="16">
        <f>E20-F20</f>
        <v/>
      </c>
      <c r="H20" s="17" t="n"/>
      <c r="I20" s="18" t="inlineStr">
        <is>
          <t>PENDING</t>
        </is>
      </c>
      <c r="J20" s="15" t="inlineStr">
        <is>
          <t>August media plan • R$ 120k total including Urban</t>
        </is>
      </c>
    </row>
    <row r="21" ht="20" customHeight="1">
      <c r="B21" s="19" t="inlineStr">
        <is>
          <t>Digital</t>
        </is>
      </c>
      <c r="C21" s="20" t="inlineStr">
        <is>
          <t>Publya Programmatic Display</t>
        </is>
      </c>
      <c r="D21" s="20" t="inlineStr">
        <is>
          <t>Publya</t>
        </is>
      </c>
      <c r="E21" s="21" t="n">
        <v>55000</v>
      </c>
      <c r="F21" s="21">
        <f>E21*$C$5</f>
        <v/>
      </c>
      <c r="G21" s="21">
        <f>E21-F21</f>
        <v/>
      </c>
      <c r="H21" s="17" t="n"/>
      <c r="I21" s="18" t="inlineStr">
        <is>
          <t>PENDING</t>
        </is>
      </c>
      <c r="J21" s="20" t="inlineStr">
        <is>
          <t>August media plan • Geolocation</t>
        </is>
      </c>
    </row>
    <row r="22" ht="20" customHeight="1">
      <c r="B22" s="14" t="inlineStr">
        <is>
          <t>Digital</t>
        </is>
      </c>
      <c r="C22" s="15" t="inlineStr">
        <is>
          <t>Meta Ads</t>
        </is>
      </c>
      <c r="D22" s="15" t="inlineStr">
        <is>
          <t>Publya</t>
        </is>
      </c>
      <c r="E22" s="16" t="n">
        <v>150000</v>
      </c>
      <c r="F22" s="16">
        <f>E22*$C$5</f>
        <v/>
      </c>
      <c r="G22" s="16">
        <f>E22-F22</f>
        <v/>
      </c>
      <c r="H22" s="17" t="n"/>
      <c r="I22" s="18" t="inlineStr">
        <is>
          <t>PENDING</t>
        </is>
      </c>
      <c r="J22" s="15" t="inlineStr">
        <is>
          <t>August media plan • Line-up allocation</t>
        </is>
      </c>
    </row>
    <row r="23" ht="20" customHeight="1">
      <c r="B23" s="19" t="inlineStr">
        <is>
          <t>Digital</t>
        </is>
      </c>
      <c r="C23" s="20" t="inlineStr">
        <is>
          <t>TikTok Ads — Test</t>
        </is>
      </c>
      <c r="D23" s="20" t="inlineStr">
        <is>
          <t>TikTok</t>
        </is>
      </c>
      <c r="E23" s="21" t="n">
        <v>30000</v>
      </c>
      <c r="F23" s="21">
        <f>E23*$C$5</f>
        <v/>
      </c>
      <c r="G23" s="21">
        <f>E23-F23</f>
        <v/>
      </c>
      <c r="H23" s="17" t="n"/>
      <c r="I23" s="18" t="inlineStr">
        <is>
          <t>PENDING</t>
        </is>
      </c>
      <c r="J23" s="20" t="inlineStr">
        <is>
          <t>August media plan • Test allocation</t>
        </is>
      </c>
    </row>
    <row r="24" ht="20" customHeight="1">
      <c r="B24" s="14" t="inlineStr">
        <is>
          <t>Digital</t>
        </is>
      </c>
      <c r="C24" s="15" t="inlineStr">
        <is>
          <t>Mercado Livre Ads</t>
        </is>
      </c>
      <c r="D24" s="15" t="inlineStr">
        <is>
          <t>Mercado Livre</t>
        </is>
      </c>
      <c r="E24" s="16" t="n">
        <v>61000</v>
      </c>
      <c r="F24" s="16">
        <f>E24*$C$5</f>
        <v/>
      </c>
      <c r="G24" s="16">
        <f>E24-F24</f>
        <v/>
      </c>
      <c r="H24" s="17" t="n"/>
      <c r="I24" s="18" t="inlineStr">
        <is>
          <t>PENDING</t>
        </is>
      </c>
      <c r="J24" s="15" t="inlineStr">
        <is>
          <t>August media plan • Marketplace conversion</t>
        </is>
      </c>
    </row>
    <row r="25" ht="23" customHeight="1">
      <c r="B25" s="23" t="inlineStr">
        <is>
          <t>SUBTOTAL</t>
        </is>
      </c>
      <c r="C25" s="24" t="inlineStr">
        <is>
          <t>DIGITAL LINE-UP</t>
        </is>
      </c>
      <c r="D25" s="23" t="n"/>
      <c r="E25" s="25">
        <f>SUM(E19:E24)</f>
        <v/>
      </c>
      <c r="F25" s="25">
        <f>SUM(F19:F24)</f>
        <v/>
      </c>
      <c r="G25" s="25">
        <f>SUM(G19:G24)</f>
        <v/>
      </c>
      <c r="H25" s="26" t="n"/>
      <c r="I25" s="27" t="inlineStr">
        <is>
          <t>PENDING</t>
        </is>
      </c>
      <c r="J25" s="24" t="inlineStr">
        <is>
          <t>Performance media allocation from August workbook</t>
        </is>
      </c>
    </row>
    <row r="26" ht="20" customHeight="1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4" customHeight="1">
      <c r="B27" s="28" t="inlineStr">
        <is>
          <t>DIGITAL URBAN | Planned gross: BRL 200,000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0" customHeight="1">
      <c r="B28" s="13" t="inlineStr">
        <is>
          <t>CATEGORY</t>
        </is>
      </c>
      <c r="C28" s="13" t="inlineStr">
        <is>
          <t>CHANNEL</t>
        </is>
      </c>
      <c r="D28" s="13" t="inlineStr">
        <is>
          <t>PUBLISHER</t>
        </is>
      </c>
      <c r="E28" s="13" t="inlineStr">
        <is>
          <t>PLAN GROSS (BRL)</t>
        </is>
      </c>
      <c r="F28" s="13" t="inlineStr">
        <is>
          <t>4% COMMISSION (BRL)</t>
        </is>
      </c>
      <c r="G28" s="13" t="inlineStr">
        <is>
          <t>NET (BRL)</t>
        </is>
      </c>
      <c r="H28" s="13" t="inlineStr">
        <is>
          <t>ACTUAL INVESTMENT (BRL)</t>
        </is>
      </c>
      <c r="I28" s="13" t="inlineStr">
        <is>
          <t>STATUS</t>
        </is>
      </c>
      <c r="J28" s="13" t="inlineStr">
        <is>
          <t>SOURCE / NOTE</t>
        </is>
      </c>
    </row>
    <row r="29" ht="20" customHeight="1">
      <c r="B29" s="19" t="inlineStr">
        <is>
          <t>Digital</t>
        </is>
      </c>
      <c r="C29" s="20" t="inlineStr">
        <is>
          <t>YouTube Video</t>
        </is>
      </c>
      <c r="D29" s="20" t="inlineStr">
        <is>
          <t>Publya</t>
        </is>
      </c>
      <c r="E29" s="21" t="n">
        <v>35000</v>
      </c>
      <c r="F29" s="21">
        <f>E29*$C$5</f>
        <v/>
      </c>
      <c r="G29" s="21">
        <f>E29-F29</f>
        <v/>
      </c>
      <c r="H29" s="17" t="n"/>
      <c r="I29" s="18" t="inlineStr">
        <is>
          <t>PENDING</t>
        </is>
      </c>
      <c r="J29" s="20" t="inlineStr">
        <is>
          <t>August media plan • Upper funnel / launch</t>
        </is>
      </c>
    </row>
    <row r="30" ht="20" customHeight="1">
      <c r="B30" s="14" t="inlineStr">
        <is>
          <t>Digital</t>
        </is>
      </c>
      <c r="C30" s="15" t="inlineStr">
        <is>
          <t>Google Ads</t>
        </is>
      </c>
      <c r="D30" s="15" t="inlineStr">
        <is>
          <t>Google</t>
        </is>
      </c>
      <c r="E30" s="16" t="n">
        <v>80000</v>
      </c>
      <c r="F30" s="16">
        <f>E30*$C$5</f>
        <v/>
      </c>
      <c r="G30" s="16">
        <f>E30-F30</f>
        <v/>
      </c>
      <c r="H30" s="17" t="n"/>
      <c r="I30" s="18" t="inlineStr">
        <is>
          <t>PENDING</t>
        </is>
      </c>
      <c r="J30" s="15" t="inlineStr">
        <is>
          <t>August media plan • MG4 Urban</t>
        </is>
      </c>
    </row>
    <row r="31" ht="20" customHeight="1">
      <c r="B31" s="19" t="inlineStr">
        <is>
          <t>Digital</t>
        </is>
      </c>
      <c r="C31" s="20" t="inlineStr">
        <is>
          <t>Meta Ads</t>
        </is>
      </c>
      <c r="D31" s="20" t="inlineStr">
        <is>
          <t>Publya</t>
        </is>
      </c>
      <c r="E31" s="21" t="n">
        <v>60000</v>
      </c>
      <c r="F31" s="21">
        <f>E31*$C$5</f>
        <v/>
      </c>
      <c r="G31" s="21">
        <f>E31-F31</f>
        <v/>
      </c>
      <c r="H31" s="17" t="n"/>
      <c r="I31" s="18" t="inlineStr">
        <is>
          <t>PENDING</t>
        </is>
      </c>
      <c r="J31" s="20" t="inlineStr">
        <is>
          <t>August media plan • MG4 Urban</t>
        </is>
      </c>
    </row>
    <row r="32" ht="20" customHeight="1">
      <c r="B32" s="14" t="inlineStr">
        <is>
          <t>Digital</t>
        </is>
      </c>
      <c r="C32" s="15" t="inlineStr">
        <is>
          <t>Webmotors</t>
        </is>
      </c>
      <c r="D32" s="15" t="inlineStr">
        <is>
          <t>Webmotors</t>
        </is>
      </c>
      <c r="E32" s="16" t="n">
        <v>15000</v>
      </c>
      <c r="F32" s="16">
        <f>E32*$C$5</f>
        <v/>
      </c>
      <c r="G32" s="16">
        <f>E32-F32</f>
        <v/>
      </c>
      <c r="H32" s="17" t="n"/>
      <c r="I32" s="18" t="inlineStr">
        <is>
          <t>PENDING</t>
        </is>
      </c>
      <c r="J32" s="15" t="inlineStr">
        <is>
          <t>August media plan • MG4 Urban</t>
        </is>
      </c>
    </row>
    <row r="33" ht="20" customHeight="1">
      <c r="B33" s="19" t="inlineStr">
        <is>
          <t>Digital</t>
        </is>
      </c>
      <c r="C33" s="20" t="inlineStr">
        <is>
          <t>Mercado Livre Ads</t>
        </is>
      </c>
      <c r="D33" s="20" t="inlineStr">
        <is>
          <t>Mercado Livre</t>
        </is>
      </c>
      <c r="E33" s="21" t="n">
        <v>10000</v>
      </c>
      <c r="F33" s="21">
        <f>E33*$C$5</f>
        <v/>
      </c>
      <c r="G33" s="21">
        <f>E33-F33</f>
        <v/>
      </c>
      <c r="H33" s="17" t="n"/>
      <c r="I33" s="18" t="inlineStr">
        <is>
          <t>PENDING</t>
        </is>
      </c>
      <c r="J33" s="20" t="inlineStr">
        <is>
          <t>August media plan • MG4 Urban</t>
        </is>
      </c>
    </row>
    <row r="34" ht="23" customHeight="1">
      <c r="B34" s="23" t="inlineStr">
        <is>
          <t>SUBTOTAL</t>
        </is>
      </c>
      <c r="C34" s="24" t="inlineStr">
        <is>
          <t>DIGITAL URBAN</t>
        </is>
      </c>
      <c r="D34" s="23" t="n"/>
      <c r="E34" s="25">
        <f>SUM(E29:E33)</f>
        <v/>
      </c>
      <c r="F34" s="25">
        <f>SUM(F29:F33)</f>
        <v/>
      </c>
      <c r="G34" s="25">
        <f>SUM(G29:G33)</f>
        <v/>
      </c>
      <c r="H34" s="26" t="n"/>
      <c r="I34" s="27" t="inlineStr">
        <is>
          <t>PENDING</t>
        </is>
      </c>
      <c r="J34" s="24" t="inlineStr">
        <is>
          <t>Dedicated MG4 Urban allocation from August workbook</t>
        </is>
      </c>
    </row>
    <row r="35" ht="20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4" customHeight="1">
      <c r="B36" s="28" t="inlineStr">
        <is>
          <t>OFF — MAGAZINE | Planned gross: BRL 50,000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30" customHeight="1">
      <c r="B37" s="13" t="inlineStr">
        <is>
          <t>CATEGORY</t>
        </is>
      </c>
      <c r="C37" s="13" t="inlineStr">
        <is>
          <t>CHANNEL</t>
        </is>
      </c>
      <c r="D37" s="13" t="inlineStr">
        <is>
          <t>PUBLISHER</t>
        </is>
      </c>
      <c r="E37" s="13" t="inlineStr">
        <is>
          <t>PLAN GROSS (BRL)</t>
        </is>
      </c>
      <c r="F37" s="13" t="inlineStr">
        <is>
          <t>4% COMMISSION (BRL)</t>
        </is>
      </c>
      <c r="G37" s="13" t="inlineStr">
        <is>
          <t>NET (BRL)</t>
        </is>
      </c>
      <c r="H37" s="13" t="inlineStr">
        <is>
          <t>ACTUAL INVESTMENT (BRL)</t>
        </is>
      </c>
      <c r="I37" s="13" t="inlineStr">
        <is>
          <t>STATUS</t>
        </is>
      </c>
      <c r="J37" s="13" t="inlineStr">
        <is>
          <t>SOURCE / NOTE</t>
        </is>
      </c>
    </row>
    <row r="38" ht="20" customHeight="1">
      <c r="B38" s="14" t="inlineStr">
        <is>
          <t>OFF</t>
        </is>
      </c>
      <c r="C38" s="15" t="inlineStr">
        <is>
          <t>Magazine</t>
        </is>
      </c>
      <c r="D38" s="15" t="inlineStr">
        <is>
          <t>TBD</t>
        </is>
      </c>
      <c r="E38" s="16" t="n">
        <v>50000</v>
      </c>
      <c r="F38" s="16">
        <f>E38*$C$5</f>
        <v/>
      </c>
      <c r="G38" s="16">
        <f>E38-F38</f>
        <v/>
      </c>
      <c r="H38" s="17" t="n"/>
      <c r="I38" s="18" t="inlineStr">
        <is>
          <t>PENDING</t>
        </is>
      </c>
      <c r="J38" s="15" t="inlineStr">
        <is>
          <t>August media plan • Outlet / activation not yet defined</t>
        </is>
      </c>
    </row>
    <row r="39" ht="23" customHeight="1">
      <c r="B39" s="23" t="inlineStr">
        <is>
          <t>SUBTOTAL</t>
        </is>
      </c>
      <c r="C39" s="24" t="inlineStr">
        <is>
          <t>OFF — MAGAZINE</t>
        </is>
      </c>
      <c r="D39" s="23" t="n"/>
      <c r="E39" s="25">
        <f>SUM(E38:E38)</f>
        <v/>
      </c>
      <c r="F39" s="25">
        <f>SUM(F38:F38)</f>
        <v/>
      </c>
      <c r="G39" s="25">
        <f>SUM(G38:G38)</f>
        <v/>
      </c>
      <c r="H39" s="26" t="n"/>
      <c r="I39" s="27" t="inlineStr">
        <is>
          <t>PENDING</t>
        </is>
      </c>
      <c r="J39" s="24" t="inlineStr">
        <is>
          <t>Off / Magazine reserve; outlet and activation remain TBD</t>
        </is>
      </c>
    </row>
    <row r="40" ht="20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B42" s="29" t="inlineStr">
        <is>
          <t>READING GUIDE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22" customHeight="1">
      <c r="B43" s="6" t="inlineStr">
        <is>
          <t>• Source: uploaded MGBrazil-DigitalMediaPlanAug26-MediaSAVE99k-Harmonized-EN.xlsx, August 2026 version.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2" customHeight="1">
      <c r="B44" s="6" t="inlineStr">
        <is>
          <t>• Digital Line-up = BRL 751,000; Digital Urban = BRL 200,000; Media Save = BRL 99,000; Off / Magazine = BRL 50,000.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2" customHeight="1">
      <c r="B45" s="6" t="inlineStr">
        <is>
          <t>• Consolidated gross = BRL 1,100,000; commission is formula-driven at 4%; consolidated net = BRL 1,059,960.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2" customHeight="1">
      <c r="B46" s="6" t="inlineStr">
        <is>
          <t>• Actual Investment cells are intentionally blank because no August payment/proof values were supplied. Blank means not provided, not zero.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2" customHeight="1">
      <c r="B47" s="6" t="inlineStr">
        <is>
          <t>• Projected lead target in the August source workbook: 12,000 Leads. This financial workbook does not alter operational dashboard volumes.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3">
    <mergeCell ref="B3:J3"/>
    <mergeCell ref="B42:J42"/>
    <mergeCell ref="B45:J45"/>
    <mergeCell ref="B46:J46"/>
    <mergeCell ref="B36:J36"/>
    <mergeCell ref="B47:J47"/>
    <mergeCell ref="B17:J17"/>
    <mergeCell ref="B9:J9"/>
    <mergeCell ref="B27:J27"/>
    <mergeCell ref="B43:J43"/>
    <mergeCell ref="B44:J44"/>
    <mergeCell ref="D5:J5"/>
    <mergeCell ref="B2:J2"/>
  </mergeCells>
  <conditionalFormatting sqref="I11:I39">
    <cfRule type="expression" priority="1" dxfId="0">
      <formula>I11="PAID"</formula>
    </cfRule>
    <cfRule type="expression" priority="2" dxfId="1">
      <formula>I11="PENDING"</formula>
    </cfRule>
  </conditionalFormatting>
  <dataValidations count="1">
    <dataValidation sqref="I11:I39" showDropDown="0" showInputMessage="0" showErrorMessage="0" allowBlank="1" type="list">
      <formula1>"PLANNED,PENDING,PAID,AVAILABLE,PARTIALLY PAID,TBD"</formula1>
    </dataValidation>
  </dataValidations>
  <pageMargins left="0.2" right="0.2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5" customWidth="1" min="3" max="3"/>
  </cols>
  <sheetData>
    <row r="2">
      <c r="B2" s="30" t="inlineStr">
        <is>
          <t>AUGUST 2026 | SOURCE &amp; ASSUMPTIONS</t>
        </is>
      </c>
    </row>
    <row r="5" ht="23" customHeight="1">
      <c r="B5" s="31" t="inlineStr">
        <is>
          <t>Source workbook</t>
        </is>
      </c>
      <c r="C5" s="32" t="inlineStr">
        <is>
          <t>pasted_file_6fhRVV_MGBrazil-DigitalMediaPlanAug26-MediaSAVE99k-Harmonized-EN.xlsx</t>
        </is>
      </c>
    </row>
    <row r="6" ht="23" customHeight="1">
      <c r="B6" s="33" t="inlineStr">
        <is>
          <t>Period</t>
        </is>
      </c>
      <c r="C6" s="34" t="inlineStr">
        <is>
          <t>August 2026</t>
        </is>
      </c>
    </row>
    <row r="7" ht="23" customHeight="1">
      <c r="B7" s="31" t="inlineStr">
        <is>
          <t>Commission rate</t>
        </is>
      </c>
      <c r="C7" s="32" t="inlineStr">
        <is>
          <t>4.0%, consistent with the July reference structure</t>
        </is>
      </c>
    </row>
    <row r="8" ht="23" customHeight="1">
      <c r="B8" s="33" t="inlineStr">
        <is>
          <t>Digital Line-up gross</t>
        </is>
      </c>
      <c r="C8" s="34" t="inlineStr">
        <is>
          <t>BRL 751,000</t>
        </is>
      </c>
    </row>
    <row r="9" ht="23" customHeight="1">
      <c r="B9" s="31" t="inlineStr">
        <is>
          <t>Digital Urban gross</t>
        </is>
      </c>
      <c r="C9" s="32" t="inlineStr">
        <is>
          <t>BRL 200,000</t>
        </is>
      </c>
    </row>
    <row r="10" ht="23" customHeight="1">
      <c r="B10" s="33" t="inlineStr">
        <is>
          <t>Media Save reserve</t>
        </is>
      </c>
      <c r="C10" s="34" t="inlineStr">
        <is>
          <t>BRL 99,000; no commission applied in the source plan</t>
        </is>
      </c>
    </row>
    <row r="11" ht="23" customHeight="1">
      <c r="B11" s="31" t="inlineStr">
        <is>
          <t>Off / Magazine gross</t>
        </is>
      </c>
      <c r="C11" s="32" t="inlineStr">
        <is>
          <t>BRL 50,000; outlet and activation not yet defined</t>
        </is>
      </c>
    </row>
    <row r="12" ht="23" customHeight="1">
      <c r="B12" s="33" t="inlineStr">
        <is>
          <t>Consolidated gross</t>
        </is>
      </c>
      <c r="C12" s="34" t="inlineStr">
        <is>
          <t>BRL 1,100,000</t>
        </is>
      </c>
    </row>
    <row r="13" ht="23" customHeight="1">
      <c r="B13" s="31" t="inlineStr">
        <is>
          <t>Consolidated commission</t>
        </is>
      </c>
      <c r="C13" s="32" t="inlineStr">
        <is>
          <t>BRL 40,040 at 4%, excluding Media Save</t>
        </is>
      </c>
    </row>
    <row r="14" ht="23" customHeight="1">
      <c r="B14" s="33" t="inlineStr">
        <is>
          <t>Consolidated net</t>
        </is>
      </c>
      <c r="C14" s="34" t="inlineStr">
        <is>
          <t>BRL 1,059,960</t>
        </is>
      </c>
    </row>
    <row r="15" ht="23" customHeight="1">
      <c r="B15" s="31" t="inlineStr">
        <is>
          <t>Projected Leads target</t>
        </is>
      </c>
      <c r="C15" s="32" t="inlineStr">
        <is>
          <t>12,000 in the August source workbook</t>
        </is>
      </c>
    </row>
    <row r="16" ht="23" customHeight="1">
      <c r="B16" s="33" t="inlineStr">
        <is>
          <t>Actual Investment</t>
        </is>
      </c>
      <c r="C16" s="34" t="inlineStr">
        <is>
          <t>Not provided for August in the supplied workbook; cells intentionally remain blank and status is Pending.</t>
        </is>
      </c>
    </row>
    <row r="20" ht="34" customHeight="1">
      <c r="B20" s="35" t="inlineStr">
        <is>
          <t>No numerical value was fabricated for August Actual Investment. Update the yellow cells on the main sheet when payment/proof values are available.</t>
        </is>
      </c>
    </row>
  </sheetData>
  <mergeCells count="2">
    <mergeCell ref="B20:C20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MG Motors Dashboard</dc:creator>
  <dc:title xmlns:dc="http://purl.org/dc/elements/1.1/">MG Brazil — August 2026 Financial Media Plan</dc:title>
  <dc:description xmlns:dc="http://purl.org/dc/elements/1.1/">August 2026 financial media structure based on the supplied August media plan workbook.</dc:description>
  <dc:subject xmlns:dc="http://purl.org/dc/elements/1.1/">Digital Line-up, Digital Urban, Off Magazine and Consolidated Summary</dc:subject>
  <dcterms:created xmlns:dcterms="http://purl.org/dc/terms/" xmlns:xsi="http://www.w3.org/2001/XMLSchema-instance" xsi:type="dcterms:W3CDTF">2026-08-26T17:27:35Z</dcterms:created>
  <dcterms:modified xmlns:dcterms="http://purl.org/dc/terms/" xmlns:xsi="http://www.w3.org/2001/XMLSchema-instance" xsi:type="dcterms:W3CDTF">2026-08-26T17:27:35Z</dcterms:modified>
</cp:coreProperties>
</file>